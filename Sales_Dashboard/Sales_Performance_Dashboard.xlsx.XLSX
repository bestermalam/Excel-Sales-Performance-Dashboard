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Data Analyst Portfolio\"/>
    </mc:Choice>
  </mc:AlternateContent>
  <xr:revisionPtr revIDLastSave="0" documentId="13_ncr:1_{40698AF2-141B-44F8-9637-34C34E046D11}" xr6:coauthVersionLast="47" xr6:coauthVersionMax="47" xr10:uidLastSave="{00000000-0000-0000-0000-000000000000}"/>
  <bookViews>
    <workbookView xWindow="-120" yWindow="-120" windowWidth="20730" windowHeight="11160" xr2:uid="{00000000-000D-0000-FFFF-FFFF00000000}"/>
  </bookViews>
  <sheets>
    <sheet name="Dashboard" sheetId="6" r:id="rId1"/>
    <sheet name="Sheet2" sheetId="3" r:id="rId2"/>
    <sheet name="Sheet5" sheetId="7" r:id="rId3"/>
    <sheet name="Sheet1" sheetId="2" r:id="rId4"/>
    <sheet name="Sheet3" sheetId="4" r:id="rId5"/>
    <sheet name="Sheet4" sheetId="5" r:id="rId6"/>
    <sheet name="SalesData" sheetId="1" r:id="rId7"/>
  </sheets>
  <definedNames>
    <definedName name="Slicer_Category">#N/A</definedName>
    <definedName name="Slicer_City">#N/A</definedName>
    <definedName name="Slicer_Product">#N/A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6" l="1"/>
  <c r="A8" i="6"/>
  <c r="A4" i="6"/>
  <c r="A24" i="1"/>
  <c r="G24" i="1"/>
  <c r="I3" i="1"/>
  <c r="I4" i="1"/>
  <c r="I5" i="1"/>
  <c r="I6" i="1"/>
  <c r="I7" i="1"/>
  <c r="I8" i="1"/>
  <c r="I9" i="1"/>
  <c r="I10" i="1"/>
  <c r="I11" i="1"/>
  <c r="I12" i="1"/>
  <c r="I13" i="1"/>
  <c r="I14" i="1"/>
  <c r="I15" i="1"/>
  <c r="I16" i="1"/>
  <c r="I17" i="1"/>
  <c r="I18" i="1"/>
  <c r="I19" i="1"/>
  <c r="I20" i="1"/>
  <c r="I21" i="1"/>
  <c r="I2" i="1"/>
  <c r="I28" i="1" l="1"/>
  <c r="I27" i="1"/>
  <c r="I26" i="1"/>
  <c r="I25" i="1"/>
  <c r="I24" i="1"/>
</calcChain>
</file>

<file path=xl/sharedStrings.xml><?xml version="1.0" encoding="utf-8"?>
<sst xmlns="http://schemas.openxmlformats.org/spreadsheetml/2006/main" count="139" uniqueCount="61">
  <si>
    <t>Order ID</t>
  </si>
  <si>
    <t>Date</t>
  </si>
  <si>
    <t>Product</t>
  </si>
  <si>
    <t>Category</t>
  </si>
  <si>
    <t>City</t>
  </si>
  <si>
    <t>Salesperson</t>
  </si>
  <si>
    <t>Quantity</t>
  </si>
  <si>
    <t>Unit Price</t>
  </si>
  <si>
    <t>Total Sales</t>
  </si>
  <si>
    <t>ORD001</t>
  </si>
  <si>
    <t>Laptop</t>
  </si>
  <si>
    <t>Electronics</t>
  </si>
  <si>
    <t>Lusaka</t>
  </si>
  <si>
    <t>John</t>
  </si>
  <si>
    <t>ORD002</t>
  </si>
  <si>
    <t>Phone</t>
  </si>
  <si>
    <t>Ndola</t>
  </si>
  <si>
    <t>Mary</t>
  </si>
  <si>
    <t>ORD003</t>
  </si>
  <si>
    <t>Office Chair</t>
  </si>
  <si>
    <t>Furniture</t>
  </si>
  <si>
    <t>Peter</t>
  </si>
  <si>
    <t>ORD004</t>
  </si>
  <si>
    <t>Printer</t>
  </si>
  <si>
    <t>Kitwe</t>
  </si>
  <si>
    <t>ORD005</t>
  </si>
  <si>
    <t>Desk</t>
  </si>
  <si>
    <t>ORD006</t>
  </si>
  <si>
    <t>Monitor</t>
  </si>
  <si>
    <t>ORD007</t>
  </si>
  <si>
    <t>Keyboard</t>
  </si>
  <si>
    <t>Accessories</t>
  </si>
  <si>
    <t>ORD008</t>
  </si>
  <si>
    <t>Mouse</t>
  </si>
  <si>
    <t>ORD009</t>
  </si>
  <si>
    <t>Tablet</t>
  </si>
  <si>
    <t>ORD010</t>
  </si>
  <si>
    <t>Headphones</t>
  </si>
  <si>
    <t>ORD011</t>
  </si>
  <si>
    <t>ORD012</t>
  </si>
  <si>
    <t>ORD013</t>
  </si>
  <si>
    <t>ORD014</t>
  </si>
  <si>
    <t>ORD015</t>
  </si>
  <si>
    <t>ORD016</t>
  </si>
  <si>
    <t>ORD017</t>
  </si>
  <si>
    <t>ORD018</t>
  </si>
  <si>
    <t>ORD019</t>
  </si>
  <si>
    <t>ORD020</t>
  </si>
  <si>
    <t>Row Labels</t>
  </si>
  <si>
    <t>Grand Total</t>
  </si>
  <si>
    <t>Sum of Total Sales</t>
  </si>
  <si>
    <t>SALES PERFORMANCE DASHBOARD</t>
  </si>
  <si>
    <t>Average Sale</t>
  </si>
  <si>
    <t>Number of Sales</t>
  </si>
  <si>
    <t>Highest Sale</t>
  </si>
  <si>
    <t>Lowest Sale</t>
  </si>
  <si>
    <t xml:space="preserve">     Total Revenue</t>
  </si>
  <si>
    <t>Total Quantity Sold</t>
  </si>
  <si>
    <t>Total Transactions</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</si>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</sst>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0.00"/>
    <numFmt numFmtId="165" formatCode="&quot;K&quot;#,##0"/>
  </numFmts>
  <fonts count="6">
    <font>
      <sz val="11"/>
      <color theme="1"/>
      <name val="Calibri"/>
      <family val="2"/>
      <scheme val="minor"/>
    </font>
    <font>
      <sz val="10"/>
      <color theme="1"/>
      <name val="Arial Unicode MS"/>
    </font>
    <font>
      <b/>
      <sz val="24"/>
      <color theme="1"/>
      <name val="Calibri"/>
      <family val="2"/>
      <scheme val="minor"/>
    </font>
    <font>
      <b/>
      <sz val="18"/>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B0F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1" fillId="0" borderId="0" xfId="0" applyFont="1"/>
    <xf numFmtId="14" fontId="0" fillId="0" borderId="0" xfId="0" applyNumberFormat="1"/>
    <xf numFmtId="14" fontId="1" fillId="0" borderId="0" xfId="0" applyNumberFormat="1"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4" fillId="0" borderId="0" xfId="0" applyFont="1"/>
    <xf numFmtId="165" fontId="3" fillId="2" borderId="1" xfId="0" applyNumberFormat="1" applyFont="1" applyFill="1" applyBorder="1"/>
    <xf numFmtId="0" fontId="3" fillId="2" borderId="1" xfId="0" applyFont="1" applyFill="1" applyBorder="1"/>
    <xf numFmtId="0" fontId="5" fillId="0" borderId="0" xfId="0" applyFont="1"/>
    <xf numFmtId="0" fontId="5" fillId="0" borderId="0" xfId="0" applyFont="1" applyAlignment="1">
      <alignment horizontal="center"/>
    </xf>
    <xf numFmtId="0" fontId="3" fillId="2" borderId="0" xfId="0" applyFont="1" applyFill="1" applyAlignment="1">
      <alignment horizontal="center"/>
    </xf>
    <xf numFmtId="0" fontId="3" fillId="2" borderId="0" xfId="0" applyFont="1" applyFill="1"/>
    <xf numFmtId="0" fontId="2" fillId="0" borderId="0" xfId="0" applyFont="1" applyAlignment="1">
      <alignment horizontal="center"/>
    </xf>
    <xf numFmtId="165" fontId="3" fillId="2" borderId="2" xfId="0" applyNumberFormat="1" applyFont="1" applyFill="1" applyBorder="1" applyAlignment="1">
      <alignment horizontal="center"/>
    </xf>
    <xf numFmtId="165" fontId="3" fillId="2" borderId="3" xfId="0" applyNumberFormat="1" applyFont="1" applyFill="1" applyBorder="1" applyAlignment="1">
      <alignment horizontal="center"/>
    </xf>
    <xf numFmtId="165" fontId="3" fillId="2" borderId="4" xfId="0" applyNumberFormat="1" applyFont="1" applyFill="1" applyBorder="1" applyAlignment="1">
      <alignment horizontal="center"/>
    </xf>
    <xf numFmtId="165" fontId="3" fillId="2" borderId="5" xfId="0" applyNumberFormat="1" applyFont="1" applyFill="1" applyBorder="1" applyAlignment="1">
      <alignment horizontal="center"/>
    </xf>
    <xf numFmtId="0" fontId="0" fillId="0" borderId="0" xfId="0" applyNumberFormat="1"/>
  </cellXfs>
  <cellStyles count="1">
    <cellStyle name="Normal" xfId="0" builtinId="0"/>
  </cellStyles>
  <dxfs count="5">
    <dxf>
      <numFmt numFmtId="0" formatCode="General"/>
    </dxf>
    <dxf>
      <numFmt numFmtId="164" formatCode="\K#,##0.00"/>
    </dxf>
    <dxf>
      <numFmt numFmtId="164" formatCode="\K#,##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City</a:t>
            </a:r>
            <a:endParaRPr lang="en-GB"/>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Lusaka</c:v>
                </c:pt>
                <c:pt idx="1">
                  <c:v>Ndola</c:v>
                </c:pt>
                <c:pt idx="2">
                  <c:v>Kitwe</c:v>
                </c:pt>
              </c:strCache>
            </c:strRef>
          </c:cat>
          <c:val>
            <c:numRef>
              <c:f>Sheet1!$B$4:$B$7</c:f>
              <c:numCache>
                <c:formatCode>General</c:formatCode>
                <c:ptCount val="3"/>
                <c:pt idx="0">
                  <c:v>1800</c:v>
                </c:pt>
                <c:pt idx="1">
                  <c:v>6400</c:v>
                </c:pt>
                <c:pt idx="2">
                  <c:v>7260</c:v>
                </c:pt>
              </c:numCache>
            </c:numRef>
          </c:val>
          <c:extLst>
            <c:ext xmlns:c16="http://schemas.microsoft.com/office/drawing/2014/chart" uri="{C3380CC4-5D6E-409C-BE32-E72D297353CC}">
              <c16:uniqueId val="{00000002-4AAE-4903-851C-2A13B33C769E}"/>
            </c:ext>
          </c:extLst>
        </c:ser>
        <c:dLbls>
          <c:showLegendKey val="0"/>
          <c:showVal val="0"/>
          <c:showCatName val="0"/>
          <c:showSerName val="0"/>
          <c:showPercent val="0"/>
          <c:showBubbleSize val="0"/>
        </c:dLbls>
        <c:gapWidth val="219"/>
        <c:overlap val="-27"/>
        <c:axId val="531167552"/>
        <c:axId val="531168032"/>
      </c:barChart>
      <c:catAx>
        <c:axId val="5311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8032"/>
        <c:crosses val="autoZero"/>
        <c:auto val="1"/>
        <c:lblAlgn val="ctr"/>
        <c:lblOffset val="100"/>
        <c:noMultiLvlLbl val="0"/>
      </c:catAx>
      <c:valAx>
        <c:axId val="53116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75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Accessories</c:v>
                </c:pt>
              </c:strCache>
            </c:strRef>
          </c:cat>
          <c:val>
            <c:numRef>
              <c:f>Sheet2!$B$4:$B$5</c:f>
              <c:numCache>
                <c:formatCode>General</c:formatCode>
                <c:ptCount val="1"/>
                <c:pt idx="0">
                  <c:v>6400</c:v>
                </c:pt>
              </c:numCache>
            </c:numRef>
          </c:val>
          <c:extLst>
            <c:ext xmlns:c16="http://schemas.microsoft.com/office/drawing/2014/chart" uri="{C3380CC4-5D6E-409C-BE32-E72D297353CC}">
              <c16:uniqueId val="{00000000-173D-4619-AD46-58E2DD73699F}"/>
            </c:ext>
          </c:extLst>
        </c:ser>
        <c:dLbls>
          <c:showLegendKey val="0"/>
          <c:showVal val="0"/>
          <c:showCatName val="0"/>
          <c:showSerName val="0"/>
          <c:showPercent val="0"/>
          <c:showBubbleSize val="0"/>
        </c:dLbls>
        <c:gapWidth val="219"/>
        <c:overlap val="-27"/>
        <c:axId val="531167552"/>
        <c:axId val="531168032"/>
      </c:barChart>
      <c:catAx>
        <c:axId val="5311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8032"/>
        <c:crosses val="autoZero"/>
        <c:auto val="1"/>
        <c:lblAlgn val="ctr"/>
        <c:lblOffset val="100"/>
        <c:noMultiLvlLbl val="0"/>
      </c:catAx>
      <c:valAx>
        <c:axId val="53116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Salesperson chart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Mary</c:v>
                </c:pt>
              </c:strCache>
            </c:strRef>
          </c:cat>
          <c:val>
            <c:numRef>
              <c:f>Sheet3!$B$4:$B$5</c:f>
              <c:numCache>
                <c:formatCode>General</c:formatCode>
                <c:ptCount val="1"/>
                <c:pt idx="0">
                  <c:v>6400</c:v>
                </c:pt>
              </c:numCache>
            </c:numRef>
          </c:val>
          <c:extLst>
            <c:ext xmlns:c16="http://schemas.microsoft.com/office/drawing/2014/chart" uri="{C3380CC4-5D6E-409C-BE32-E72D297353CC}">
              <c16:uniqueId val="{00000000-E341-4657-9728-D78DE56D181C}"/>
            </c:ext>
          </c:extLst>
        </c:ser>
        <c:dLbls>
          <c:showLegendKey val="0"/>
          <c:showVal val="0"/>
          <c:showCatName val="0"/>
          <c:showSerName val="0"/>
          <c:showPercent val="0"/>
          <c:showBubbleSize val="0"/>
        </c:dLbls>
        <c:gapWidth val="219"/>
        <c:overlap val="-27"/>
        <c:axId val="720000624"/>
        <c:axId val="719986704"/>
      </c:barChart>
      <c:catAx>
        <c:axId val="72000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86704"/>
        <c:crosses val="autoZero"/>
        <c:auto val="1"/>
        <c:lblAlgn val="ctr"/>
        <c:lblOffset val="100"/>
        <c:noMultiLvlLbl val="0"/>
      </c:catAx>
      <c:valAx>
        <c:axId val="71998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000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Product</a:t>
            </a:r>
            <a:endParaRPr lang="en-GB"/>
          </a:p>
        </c:rich>
      </c:tx>
      <c:layout>
        <c:manualLayout>
          <c:xMode val="edge"/>
          <c:yMode val="edge"/>
          <c:x val="0.4537524968789013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Headphones</c:v>
                </c:pt>
                <c:pt idx="1">
                  <c:v>Keyboard</c:v>
                </c:pt>
              </c:strCache>
            </c:strRef>
          </c:cat>
          <c:val>
            <c:numRef>
              <c:f>Sheet4!$B$4:$B$6</c:f>
              <c:numCache>
                <c:formatCode>General</c:formatCode>
                <c:ptCount val="2"/>
                <c:pt idx="0">
                  <c:v>3600</c:v>
                </c:pt>
                <c:pt idx="1">
                  <c:v>2800</c:v>
                </c:pt>
              </c:numCache>
            </c:numRef>
          </c:val>
          <c:extLst>
            <c:ext xmlns:c16="http://schemas.microsoft.com/office/drawing/2014/chart" uri="{C3380CC4-5D6E-409C-BE32-E72D297353CC}">
              <c16:uniqueId val="{00000000-9F84-458F-9D1D-75555304D9D5}"/>
            </c:ext>
          </c:extLst>
        </c:ser>
        <c:dLbls>
          <c:showLegendKey val="0"/>
          <c:showVal val="0"/>
          <c:showCatName val="0"/>
          <c:showSerName val="0"/>
          <c:showPercent val="0"/>
          <c:showBubbleSize val="0"/>
        </c:dLbls>
        <c:gapWidth val="219"/>
        <c:overlap val="-27"/>
        <c:axId val="719995824"/>
        <c:axId val="719991984"/>
      </c:barChart>
      <c:catAx>
        <c:axId val="71999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91984"/>
        <c:crosses val="autoZero"/>
        <c:auto val="1"/>
        <c:lblAlgn val="ctr"/>
        <c:lblOffset val="100"/>
        <c:noMultiLvlLbl val="0"/>
      </c:catAx>
      <c:valAx>
        <c:axId val="71999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9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Accessories</c:v>
                </c:pt>
              </c:strCache>
            </c:strRef>
          </c:cat>
          <c:val>
            <c:numRef>
              <c:f>Sheet2!$B$4:$B$5</c:f>
              <c:numCache>
                <c:formatCode>General</c:formatCode>
                <c:ptCount val="1"/>
                <c:pt idx="0">
                  <c:v>6400</c:v>
                </c:pt>
              </c:numCache>
            </c:numRef>
          </c:val>
          <c:extLst>
            <c:ext xmlns:c16="http://schemas.microsoft.com/office/drawing/2014/chart" uri="{C3380CC4-5D6E-409C-BE32-E72D297353CC}">
              <c16:uniqueId val="{00000000-AEDA-4E48-BACF-1BB609680830}"/>
            </c:ext>
          </c:extLst>
        </c:ser>
        <c:dLbls>
          <c:showLegendKey val="0"/>
          <c:showVal val="0"/>
          <c:showCatName val="0"/>
          <c:showSerName val="0"/>
          <c:showPercent val="0"/>
          <c:showBubbleSize val="0"/>
        </c:dLbls>
        <c:gapWidth val="219"/>
        <c:overlap val="-27"/>
        <c:axId val="531167552"/>
        <c:axId val="531168032"/>
      </c:barChart>
      <c:catAx>
        <c:axId val="5311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8032"/>
        <c:crosses val="autoZero"/>
        <c:auto val="1"/>
        <c:lblAlgn val="ctr"/>
        <c:lblOffset val="100"/>
        <c:noMultiLvlLbl val="0"/>
      </c:catAx>
      <c:valAx>
        <c:axId val="53116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City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Lusaka</c:v>
                </c:pt>
                <c:pt idx="1">
                  <c:v>Ndola</c:v>
                </c:pt>
                <c:pt idx="2">
                  <c:v>Kitwe</c:v>
                </c:pt>
              </c:strCache>
            </c:strRef>
          </c:cat>
          <c:val>
            <c:numRef>
              <c:f>Sheet1!$B$4:$B$7</c:f>
              <c:numCache>
                <c:formatCode>General</c:formatCode>
                <c:ptCount val="3"/>
                <c:pt idx="0">
                  <c:v>1800</c:v>
                </c:pt>
                <c:pt idx="1">
                  <c:v>6400</c:v>
                </c:pt>
                <c:pt idx="2">
                  <c:v>7260</c:v>
                </c:pt>
              </c:numCache>
            </c:numRef>
          </c:val>
          <c:extLst>
            <c:ext xmlns:c16="http://schemas.microsoft.com/office/drawing/2014/chart" uri="{C3380CC4-5D6E-409C-BE32-E72D297353CC}">
              <c16:uniqueId val="{00000000-C690-41B4-BEAE-DDEE32DFFC65}"/>
            </c:ext>
          </c:extLst>
        </c:ser>
        <c:dLbls>
          <c:showLegendKey val="0"/>
          <c:showVal val="0"/>
          <c:showCatName val="0"/>
          <c:showSerName val="0"/>
          <c:showPercent val="0"/>
          <c:showBubbleSize val="0"/>
        </c:dLbls>
        <c:gapWidth val="219"/>
        <c:overlap val="-27"/>
        <c:axId val="531190592"/>
        <c:axId val="531168512"/>
      </c:barChart>
      <c:catAx>
        <c:axId val="5311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68512"/>
        <c:crosses val="autoZero"/>
        <c:auto val="1"/>
        <c:lblAlgn val="ctr"/>
        <c:lblOffset val="100"/>
        <c:noMultiLvlLbl val="0"/>
      </c:catAx>
      <c:valAx>
        <c:axId val="53116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3119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Salesperson chart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Mary</c:v>
                </c:pt>
              </c:strCache>
            </c:strRef>
          </c:cat>
          <c:val>
            <c:numRef>
              <c:f>Sheet3!$B$4:$B$5</c:f>
              <c:numCache>
                <c:formatCode>General</c:formatCode>
                <c:ptCount val="1"/>
                <c:pt idx="0">
                  <c:v>6400</c:v>
                </c:pt>
              </c:numCache>
            </c:numRef>
          </c:val>
          <c:extLst>
            <c:ext xmlns:c16="http://schemas.microsoft.com/office/drawing/2014/chart" uri="{C3380CC4-5D6E-409C-BE32-E72D297353CC}">
              <c16:uniqueId val="{00000000-BD17-4F9A-B0AB-8166D986FDFA}"/>
            </c:ext>
          </c:extLst>
        </c:ser>
        <c:dLbls>
          <c:showLegendKey val="0"/>
          <c:showVal val="0"/>
          <c:showCatName val="0"/>
          <c:showSerName val="0"/>
          <c:showPercent val="0"/>
          <c:showBubbleSize val="0"/>
        </c:dLbls>
        <c:gapWidth val="219"/>
        <c:overlap val="-27"/>
        <c:axId val="720000624"/>
        <c:axId val="719986704"/>
      </c:barChart>
      <c:catAx>
        <c:axId val="72000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86704"/>
        <c:crosses val="autoZero"/>
        <c:auto val="1"/>
        <c:lblAlgn val="ctr"/>
        <c:lblOffset val="100"/>
        <c:noMultiLvlLbl val="0"/>
      </c:catAx>
      <c:valAx>
        <c:axId val="71998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000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Product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Headphones</c:v>
                </c:pt>
                <c:pt idx="1">
                  <c:v>Keyboard</c:v>
                </c:pt>
              </c:strCache>
            </c:strRef>
          </c:cat>
          <c:val>
            <c:numRef>
              <c:f>Sheet4!$B$4:$B$6</c:f>
              <c:numCache>
                <c:formatCode>General</c:formatCode>
                <c:ptCount val="2"/>
                <c:pt idx="0">
                  <c:v>3600</c:v>
                </c:pt>
                <c:pt idx="1">
                  <c:v>2800</c:v>
                </c:pt>
              </c:numCache>
            </c:numRef>
          </c:val>
          <c:extLst>
            <c:ext xmlns:c16="http://schemas.microsoft.com/office/drawing/2014/chart" uri="{C3380CC4-5D6E-409C-BE32-E72D297353CC}">
              <c16:uniqueId val="{00000000-972E-4E48-87A3-0FF60C546187}"/>
            </c:ext>
          </c:extLst>
        </c:ser>
        <c:dLbls>
          <c:showLegendKey val="0"/>
          <c:showVal val="0"/>
          <c:showCatName val="0"/>
          <c:showSerName val="0"/>
          <c:showPercent val="0"/>
          <c:showBubbleSize val="0"/>
        </c:dLbls>
        <c:gapWidth val="219"/>
        <c:overlap val="-27"/>
        <c:axId val="719995824"/>
        <c:axId val="719991984"/>
      </c:barChart>
      <c:catAx>
        <c:axId val="71999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91984"/>
        <c:crosses val="autoZero"/>
        <c:auto val="1"/>
        <c:lblAlgn val="ctr"/>
        <c:lblOffset val="100"/>
        <c:noMultiLvlLbl val="0"/>
      </c:catAx>
      <c:valAx>
        <c:axId val="71999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1999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257175</xdr:colOff>
      <xdr:row>8</xdr:row>
      <xdr:rowOff>152399</xdr:rowOff>
    </xdr:from>
    <xdr:to>
      <xdr:col>5</xdr:col>
      <xdr:colOff>251249</xdr:colOff>
      <xdr:row>18</xdr:row>
      <xdr:rowOff>85724</xdr:rowOff>
    </xdr:to>
    <xdr:graphicFrame macro="">
      <xdr:nvGraphicFramePr>
        <xdr:cNvPr id="2" name="Chart 1">
          <a:extLst>
            <a:ext uri="{FF2B5EF4-FFF2-40B4-BE49-F238E27FC236}">
              <a16:creationId xmlns:a16="http://schemas.microsoft.com/office/drawing/2014/main" id="{2A896FEC-1281-41AB-8CA8-4325EB780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xdr:colOff>
      <xdr:row>7</xdr:row>
      <xdr:rowOff>273050</xdr:rowOff>
    </xdr:from>
    <xdr:to>
      <xdr:col>9</xdr:col>
      <xdr:colOff>850901</xdr:colOff>
      <xdr:row>18</xdr:row>
      <xdr:rowOff>85725</xdr:rowOff>
    </xdr:to>
    <xdr:graphicFrame macro="">
      <xdr:nvGraphicFramePr>
        <xdr:cNvPr id="3" name="Chart 2">
          <a:extLst>
            <a:ext uri="{FF2B5EF4-FFF2-40B4-BE49-F238E27FC236}">
              <a16:creationId xmlns:a16="http://schemas.microsoft.com/office/drawing/2014/main" id="{E116044E-9D02-480E-B374-2929D7367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352424</xdr:colOff>
      <xdr:row>19</xdr:row>
      <xdr:rowOff>85726</xdr:rowOff>
    </xdr:from>
    <xdr:to>
      <xdr:col>5</xdr:col>
      <xdr:colOff>209549</xdr:colOff>
      <xdr:row>28</xdr:row>
      <xdr:rowOff>76200</xdr:rowOff>
    </xdr:to>
    <xdr:graphicFrame macro="">
      <xdr:nvGraphicFramePr>
        <xdr:cNvPr id="4" name="Chart 3">
          <a:extLst>
            <a:ext uri="{FF2B5EF4-FFF2-40B4-BE49-F238E27FC236}">
              <a16:creationId xmlns:a16="http://schemas.microsoft.com/office/drawing/2014/main" id="{77095653-F4C4-44D8-89C4-8D073998A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622300</xdr:colOff>
      <xdr:row>6</xdr:row>
      <xdr:rowOff>12700</xdr:rowOff>
    </xdr:from>
    <xdr:to>
      <xdr:col>14</xdr:col>
      <xdr:colOff>800100</xdr:colOff>
      <xdr:row>14</xdr:row>
      <xdr:rowOff>63500</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FB5C877F-BD93-DAC2-9DAD-3975FCF078E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887200" y="1282700"/>
              <a:ext cx="2209800" cy="16891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1422400</xdr:colOff>
      <xdr:row>6</xdr:row>
      <xdr:rowOff>9525</xdr:rowOff>
    </xdr:from>
    <xdr:to>
      <xdr:col>12</xdr:col>
      <xdr:colOff>342900</xdr:colOff>
      <xdr:row>15</xdr:row>
      <xdr:rowOff>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C8824D7-F4F7-9819-6FF5-A2DC208D25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25000" y="1279525"/>
              <a:ext cx="2082800" cy="18192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555625</xdr:colOff>
      <xdr:row>19</xdr:row>
      <xdr:rowOff>34924</xdr:rowOff>
    </xdr:from>
    <xdr:to>
      <xdr:col>9</xdr:col>
      <xdr:colOff>1032300</xdr:colOff>
      <xdr:row>28</xdr:row>
      <xdr:rowOff>139700</xdr:rowOff>
    </xdr:to>
    <xdr:graphicFrame macro="">
      <xdr:nvGraphicFramePr>
        <xdr:cNvPr id="5" name="Chart 4">
          <a:extLst>
            <a:ext uri="{FF2B5EF4-FFF2-40B4-BE49-F238E27FC236}">
              <a16:creationId xmlns:a16="http://schemas.microsoft.com/office/drawing/2014/main" id="{9CA186D1-CF94-4B40-BD0A-84876BEDF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1473200</xdr:colOff>
      <xdr:row>15</xdr:row>
      <xdr:rowOff>79375</xdr:rowOff>
    </xdr:from>
    <xdr:to>
      <xdr:col>12</xdr:col>
      <xdr:colOff>342900</xdr:colOff>
      <xdr:row>24</xdr:row>
      <xdr:rowOff>136525</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A298B00F-BBAF-DB14-9CA4-E9711914DCF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575800" y="3178175"/>
              <a:ext cx="2032000" cy="177165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749300</xdr:colOff>
      <xdr:row>15</xdr:row>
      <xdr:rowOff>69850</xdr:rowOff>
    </xdr:from>
    <xdr:to>
      <xdr:col>14</xdr:col>
      <xdr:colOff>850900</xdr:colOff>
      <xdr:row>24</xdr:row>
      <xdr:rowOff>146052</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5798029B-5F25-88FD-22AB-301ED76EFAF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014200" y="3168650"/>
              <a:ext cx="2133600" cy="1790702"/>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6</xdr:row>
      <xdr:rowOff>95250</xdr:rowOff>
    </xdr:from>
    <xdr:to>
      <xdr:col>9</xdr:col>
      <xdr:colOff>600075</xdr:colOff>
      <xdr:row>20</xdr:row>
      <xdr:rowOff>171450</xdr:rowOff>
    </xdr:to>
    <xdr:graphicFrame macro="">
      <xdr:nvGraphicFramePr>
        <xdr:cNvPr id="2" name="Chart 1">
          <a:extLst>
            <a:ext uri="{FF2B5EF4-FFF2-40B4-BE49-F238E27FC236}">
              <a16:creationId xmlns:a16="http://schemas.microsoft.com/office/drawing/2014/main" id="{87BFA220-DABE-DAB5-3104-485208630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295275</xdr:colOff>
      <xdr:row>6</xdr:row>
      <xdr:rowOff>95250</xdr:rowOff>
    </xdr:from>
    <xdr:to>
      <xdr:col>9</xdr:col>
      <xdr:colOff>600075</xdr:colOff>
      <xdr:row>20</xdr:row>
      <xdr:rowOff>171450</xdr:rowOff>
    </xdr:to>
    <xdr:graphicFrame macro="">
      <xdr:nvGraphicFramePr>
        <xdr:cNvPr id="2" name="Chart 1">
          <a:extLst>
            <a:ext uri="{FF2B5EF4-FFF2-40B4-BE49-F238E27FC236}">
              <a16:creationId xmlns:a16="http://schemas.microsoft.com/office/drawing/2014/main" id="{90F0976E-2708-FD63-BC96-5901E6AEE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295275</xdr:colOff>
      <xdr:row>6</xdr:row>
      <xdr:rowOff>95250</xdr:rowOff>
    </xdr:from>
    <xdr:to>
      <xdr:col>9</xdr:col>
      <xdr:colOff>600075</xdr:colOff>
      <xdr:row>20</xdr:row>
      <xdr:rowOff>171450</xdr:rowOff>
    </xdr:to>
    <xdr:graphicFrame macro="">
      <xdr:nvGraphicFramePr>
        <xdr:cNvPr id="2" name="Chart 1">
          <a:extLst>
            <a:ext uri="{FF2B5EF4-FFF2-40B4-BE49-F238E27FC236}">
              <a16:creationId xmlns:a16="http://schemas.microsoft.com/office/drawing/2014/main" id="{E01D54E4-19E9-E83B-0145-660B131BA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295275</xdr:colOff>
      <xdr:row>6</xdr:row>
      <xdr:rowOff>95250</xdr:rowOff>
    </xdr:from>
    <xdr:to>
      <xdr:col>9</xdr:col>
      <xdr:colOff>600075</xdr:colOff>
      <xdr:row>20</xdr:row>
      <xdr:rowOff>171450</xdr:rowOff>
    </xdr:to>
    <xdr:graphicFrame macro="">
      <xdr:nvGraphicFramePr>
        <xdr:cNvPr id="2" name="Chart 1">
          <a:extLst>
            <a:ext uri="{FF2B5EF4-FFF2-40B4-BE49-F238E27FC236}">
              <a16:creationId xmlns:a16="http://schemas.microsoft.com/office/drawing/2014/main" id="{E13BBCFC-E336-D93D-520C-85AB481AE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7.569067824072" missingItemsLimit="0" createdVersion="8" refreshedVersion="8" minRefreshableVersion="3" recordCount="22" xr:uid="{F4A83249-FCF8-45E0-9CE0-1DD72D1B1BBE}">
  <cacheSource type="worksheet">
    <worksheetSource name="SalesTable"/>
  </cacheSource>
  <cacheFields count="9">
    <cacheField name="Order ID" numFmtId="0">
      <sharedItems containsBlank="1"/>
    </cacheField>
    <cacheField name="Date" numFmtId="14">
      <sharedItems containsNonDate="0" containsDate="1" containsString="0" containsBlank="1" minDate="2026-09-01T00:00:00" maxDate="2026-09-21T00:00:00"/>
    </cacheField>
    <cacheField name="Product" numFmtId="0">
      <sharedItems containsBlank="1" count="11">
        <s v="Mouse"/>
        <s v="Keyboard"/>
        <s v="Headphones"/>
        <s v="Office Chair"/>
        <s v="Desk"/>
        <s v="Monitor"/>
        <s v="Printer"/>
        <s v="Laptop"/>
        <s v="Phone"/>
        <s v="Tablet"/>
        <m/>
      </sharedItems>
    </cacheField>
    <cacheField name="Category" numFmtId="0">
      <sharedItems containsBlank="1" count="4">
        <s v="Accessories"/>
        <s v="Furniture"/>
        <s v="Electronics"/>
        <m/>
      </sharedItems>
    </cacheField>
    <cacheField name="City" numFmtId="0">
      <sharedItems containsBlank="1" count="4">
        <s v="Lusaka"/>
        <s v="Kitwe"/>
        <s v="Ndola"/>
        <m/>
      </sharedItems>
    </cacheField>
    <cacheField name="Salesperson" numFmtId="0">
      <sharedItems containsBlank="1" count="4">
        <s v="Mary"/>
        <s v="Peter"/>
        <s v="John"/>
        <m/>
      </sharedItems>
    </cacheField>
    <cacheField name="Quantity" numFmtId="0">
      <sharedItems containsString="0" containsBlank="1" containsNumber="1" containsInteger="1" minValue="1" maxValue="12"/>
    </cacheField>
    <cacheField name="Unit Price" numFmtId="164">
      <sharedItems containsString="0" containsBlank="1" containsNumber="1" containsInteger="1" minValue="180" maxValue="8500"/>
    </cacheField>
    <cacheField name="Total Sales" numFmtId="0">
      <sharedItems containsString="0" containsBlank="1" containsNumber="1" containsInteger="1" minValue="1800" maxValue="13500"/>
    </cacheField>
  </cacheFields>
  <extLst>
    <ext xmlns:x14="http://schemas.microsoft.com/office/spreadsheetml/2009/9/main" uri="{725AE2AE-9491-48be-B2B4-4EB974FC3084}">
      <x14:pivotCacheDefinition pivotCacheId="471970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ORD008"/>
    <d v="2026-09-08T00:00:00"/>
    <x v="0"/>
    <x v="0"/>
    <x v="0"/>
    <x v="0"/>
    <n v="10"/>
    <n v="180"/>
    <n v="1800"/>
  </r>
  <r>
    <s v="ORD018"/>
    <d v="2026-09-18T00:00:00"/>
    <x v="0"/>
    <x v="0"/>
    <x v="1"/>
    <x v="1"/>
    <n v="12"/>
    <n v="180"/>
    <n v="2160"/>
  </r>
  <r>
    <s v="ORD007"/>
    <d v="2026-09-07T00:00:00"/>
    <x v="1"/>
    <x v="0"/>
    <x v="1"/>
    <x v="2"/>
    <n v="6"/>
    <n v="350"/>
    <n v="2100"/>
  </r>
  <r>
    <s v="ORD017"/>
    <d v="2026-09-17T00:00:00"/>
    <x v="1"/>
    <x v="0"/>
    <x v="2"/>
    <x v="0"/>
    <n v="8"/>
    <n v="350"/>
    <n v="2800"/>
  </r>
  <r>
    <s v="ORD010"/>
    <d v="2026-09-10T00:00:00"/>
    <x v="2"/>
    <x v="0"/>
    <x v="1"/>
    <x v="2"/>
    <n v="5"/>
    <n v="600"/>
    <n v="3000"/>
  </r>
  <r>
    <s v="ORD020"/>
    <d v="2026-09-20T00:00:00"/>
    <x v="2"/>
    <x v="0"/>
    <x v="2"/>
    <x v="0"/>
    <n v="6"/>
    <n v="600"/>
    <n v="3600"/>
  </r>
  <r>
    <s v="ORD012"/>
    <d v="2026-09-12T00:00:00"/>
    <x v="3"/>
    <x v="1"/>
    <x v="1"/>
    <x v="1"/>
    <n v="3"/>
    <n v="1200"/>
    <n v="3600"/>
  </r>
  <r>
    <s v="ORD003"/>
    <d v="2026-09-03T00:00:00"/>
    <x v="3"/>
    <x v="1"/>
    <x v="0"/>
    <x v="1"/>
    <n v="4"/>
    <n v="1200"/>
    <n v="4800"/>
  </r>
  <r>
    <s v="ORD014"/>
    <d v="2026-09-14T00:00:00"/>
    <x v="4"/>
    <x v="1"/>
    <x v="0"/>
    <x v="0"/>
    <n v="2"/>
    <n v="1800"/>
    <n v="3600"/>
  </r>
  <r>
    <s v="ORD005"/>
    <d v="2026-09-05T00:00:00"/>
    <x v="4"/>
    <x v="1"/>
    <x v="2"/>
    <x v="0"/>
    <n v="3"/>
    <n v="1800"/>
    <n v="5400"/>
  </r>
  <r>
    <s v="ORD016"/>
    <d v="2026-09-16T00:00:00"/>
    <x v="5"/>
    <x v="2"/>
    <x v="1"/>
    <x v="2"/>
    <n v="2"/>
    <n v="2200"/>
    <n v="4400"/>
  </r>
  <r>
    <s v="ORD006"/>
    <d v="2026-09-06T00:00:00"/>
    <x v="5"/>
    <x v="2"/>
    <x v="0"/>
    <x v="1"/>
    <n v="5"/>
    <n v="2200"/>
    <n v="11000"/>
  </r>
  <r>
    <s v="ORD004"/>
    <d v="2026-09-04T00:00:00"/>
    <x v="6"/>
    <x v="2"/>
    <x v="1"/>
    <x v="2"/>
    <n v="2"/>
    <n v="2500"/>
    <n v="5000"/>
  </r>
  <r>
    <s v="ORD015"/>
    <d v="2026-09-15T00:00:00"/>
    <x v="6"/>
    <x v="2"/>
    <x v="2"/>
    <x v="1"/>
    <n v="3"/>
    <n v="2500"/>
    <n v="7500"/>
  </r>
  <r>
    <s v="ORD001"/>
    <d v="2026-09-01T00:00:00"/>
    <x v="7"/>
    <x v="2"/>
    <x v="0"/>
    <x v="2"/>
    <n v="2"/>
    <n v="3200"/>
    <n v="6400"/>
  </r>
  <r>
    <s v="ORD002"/>
    <d v="2026-09-02T00:00:00"/>
    <x v="8"/>
    <x v="2"/>
    <x v="2"/>
    <x v="0"/>
    <n v="3"/>
    <n v="3200"/>
    <n v="9600"/>
  </r>
  <r>
    <s v="ORD013"/>
    <d v="2026-09-13T00:00:00"/>
    <x v="8"/>
    <x v="2"/>
    <x v="0"/>
    <x v="2"/>
    <n v="4"/>
    <n v="3200"/>
    <n v="12800"/>
  </r>
  <r>
    <s v="ORD009"/>
    <d v="2026-09-09T00:00:00"/>
    <x v="9"/>
    <x v="2"/>
    <x v="2"/>
    <x v="1"/>
    <n v="2"/>
    <n v="4500"/>
    <n v="9000"/>
  </r>
  <r>
    <s v="ORD019"/>
    <d v="2026-09-19T00:00:00"/>
    <x v="9"/>
    <x v="2"/>
    <x v="0"/>
    <x v="2"/>
    <n v="3"/>
    <n v="4500"/>
    <n v="13500"/>
  </r>
  <r>
    <s v="ORD011"/>
    <d v="2026-09-11T00:00:00"/>
    <x v="7"/>
    <x v="2"/>
    <x v="2"/>
    <x v="0"/>
    <n v="1"/>
    <n v="8500"/>
    <n v="8500"/>
  </r>
  <r>
    <m/>
    <m/>
    <x v="10"/>
    <x v="3"/>
    <x v="3"/>
    <x v="3"/>
    <m/>
    <m/>
    <m/>
  </r>
  <r>
    <m/>
    <m/>
    <x v="10"/>
    <x v="3"/>
    <x v="3"/>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A8B5CF-0E5B-41D7-9A66-616B6D5A12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9">
    <pivotField showAll="0"/>
    <pivotField showAll="0"/>
    <pivotField showAll="0">
      <items count="12">
        <item x="4"/>
        <item x="2"/>
        <item x="1"/>
        <item x="7"/>
        <item x="5"/>
        <item x="0"/>
        <item x="3"/>
        <item x="8"/>
        <item x="6"/>
        <item x="9"/>
        <item x="10"/>
        <item t="default"/>
      </items>
    </pivotField>
    <pivotField axis="axisRow" showAll="0" sortType="descending">
      <items count="5">
        <item x="0"/>
        <item h="1" x="2"/>
        <item h="1" x="1"/>
        <item h="1" x="3"/>
        <item t="default"/>
      </items>
      <autoSortScope>
        <pivotArea dataOnly="0" outline="0" fieldPosition="0">
          <references count="1">
            <reference field="4294967294" count="1" selected="0">
              <x v="0"/>
            </reference>
          </references>
        </pivotArea>
      </autoSortScope>
    </pivotField>
    <pivotField showAll="0">
      <items count="5">
        <item h="1" x="1"/>
        <item h="1" x="0"/>
        <item x="2"/>
        <item h="1" x="3"/>
        <item t="default"/>
      </items>
    </pivotField>
    <pivotField showAll="0">
      <items count="5">
        <item x="2"/>
        <item x="0"/>
        <item x="1"/>
        <item x="3"/>
        <item t="default"/>
      </items>
    </pivotField>
    <pivotField showAll="0"/>
    <pivotField showAll="0"/>
    <pivotField dataField="1" showAll="0"/>
  </pivotFields>
  <rowFields count="1">
    <field x="3"/>
  </rowFields>
  <rowItems count="2">
    <i>
      <x/>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72E78-EC1C-4B8B-AB0D-B0DA27F871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9">
    <pivotField dataField="1" showAll="0"/>
    <pivotField showAll="0"/>
    <pivotField showAll="0">
      <items count="12">
        <item x="4"/>
        <item x="2"/>
        <item x="1"/>
        <item x="7"/>
        <item x="5"/>
        <item x="0"/>
        <item x="3"/>
        <item x="8"/>
        <item x="6"/>
        <item x="9"/>
        <item x="10"/>
        <item t="default"/>
      </items>
    </pivotField>
    <pivotField showAll="0"/>
    <pivotField showAll="0"/>
    <pivotField showAll="0">
      <items count="5">
        <item x="2"/>
        <item x="0"/>
        <item x="1"/>
        <item x="3"/>
        <item t="default"/>
      </items>
    </pivotField>
    <pivotField dataField="1" showAll="0"/>
    <pivotField showAll="0"/>
    <pivotField dataField="1" showAll="0"/>
  </pivotFields>
  <rowItems count="1">
    <i/>
  </rowItems>
  <colFields count="1">
    <field x="-2"/>
  </colFields>
  <colItems count="3">
    <i>
      <x/>
    </i>
    <i i="1">
      <x v="1"/>
    </i>
    <i i="2">
      <x v="2"/>
    </i>
  </colItems>
  <dataFields count="3">
    <dataField name="Sum of Total Sales" fld="8" baseField="0" baseItem="0"/>
    <dataField name="Sum of Quantity" fld="6"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2F898E-0F80-4A3A-A3E6-C6A73BCB89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9">
    <pivotField showAll="0"/>
    <pivotField showAll="0"/>
    <pivotField showAll="0">
      <items count="12">
        <item x="4"/>
        <item x="2"/>
        <item x="1"/>
        <item x="7"/>
        <item x="5"/>
        <item x="0"/>
        <item x="3"/>
        <item x="8"/>
        <item x="6"/>
        <item x="9"/>
        <item x="10"/>
        <item t="default"/>
      </items>
    </pivotField>
    <pivotField showAll="0">
      <items count="5">
        <item x="0"/>
        <item h="1" x="2"/>
        <item h="1" x="1"/>
        <item h="1" x="3"/>
        <item t="default"/>
      </items>
    </pivotField>
    <pivotField axis="axisRow" showAll="0" sortType="ascending">
      <items count="5">
        <item x="1"/>
        <item x="0"/>
        <item x="2"/>
        <item h="1"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s>
  <rowFields count="1">
    <field x="4"/>
  </rowFields>
  <rowItems count="4">
    <i>
      <x v="1"/>
    </i>
    <i>
      <x v="2"/>
    </i>
    <i>
      <x/>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1795F-444D-4E32-A1DA-21335EE540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9">
    <pivotField showAll="0"/>
    <pivotField showAll="0"/>
    <pivotField showAll="0">
      <items count="12">
        <item x="4"/>
        <item x="2"/>
        <item x="1"/>
        <item x="7"/>
        <item x="5"/>
        <item x="0"/>
        <item x="3"/>
        <item x="8"/>
        <item x="6"/>
        <item x="9"/>
        <item x="10"/>
        <item t="default"/>
      </items>
    </pivotField>
    <pivotField showAll="0">
      <items count="5">
        <item x="0"/>
        <item h="1" x="2"/>
        <item h="1" x="1"/>
        <item h="1" x="3"/>
        <item t="default"/>
      </items>
    </pivotField>
    <pivotField showAll="0">
      <items count="5">
        <item h="1" x="1"/>
        <item h="1" x="0"/>
        <item x="2"/>
        <item h="1" x="3"/>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5"/>
  </rowFields>
  <rowItems count="2">
    <i>
      <x v="1"/>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E56AE7-070C-495A-96AB-E97A8BFC1E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9">
    <pivotField showAll="0"/>
    <pivotField showAll="0"/>
    <pivotField axis="axisRow" showAll="0" sortType="descending">
      <items count="12">
        <item x="4"/>
        <item x="2"/>
        <item x="1"/>
        <item x="7"/>
        <item x="5"/>
        <item x="0"/>
        <item x="3"/>
        <item x="8"/>
        <item x="6"/>
        <item x="9"/>
        <item x="10"/>
        <item t="default"/>
      </items>
      <autoSortScope>
        <pivotArea dataOnly="0" outline="0" fieldPosition="0">
          <references count="1">
            <reference field="4294967294" count="1" selected="0">
              <x v="0"/>
            </reference>
          </references>
        </pivotArea>
      </autoSortScope>
    </pivotField>
    <pivotField showAll="0">
      <items count="5">
        <item x="0"/>
        <item h="1" x="2"/>
        <item h="1" x="1"/>
        <item h="1" x="3"/>
        <item t="default"/>
      </items>
    </pivotField>
    <pivotField showAll="0">
      <items count="5">
        <item h="1" x="1"/>
        <item h="1" x="0"/>
        <item x="2"/>
        <item h="1" x="3"/>
        <item t="default"/>
      </items>
    </pivotField>
    <pivotField showAll="0">
      <items count="5">
        <item x="2"/>
        <item x="0"/>
        <item x="1"/>
        <item x="3"/>
        <item t="default"/>
      </items>
    </pivotField>
    <pivotField showAll="0"/>
    <pivotField showAll="0"/>
    <pivotField dataField="1" showAll="0"/>
  </pivotFields>
  <rowFields count="1">
    <field x="2"/>
  </rowFields>
  <rowItems count="3">
    <i>
      <x v="1"/>
    </i>
    <i>
      <x v="2"/>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3DEB207-0738-4D26-9FFD-D37676FA20BE}" sourceName="City">
  <pivotTables>
    <pivotTable tabId="3" name="PivotTable2"/>
    <pivotTable tabId="4" name="PivotTable3"/>
    <pivotTable tabId="5" name="PivotTable4"/>
  </pivotTables>
  <data>
    <tabular pivotCacheId="471970907">
      <items count="4">
        <i x="1"/>
        <i x="0"/>
        <i x="2"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832DDC-E2AC-43AF-91CA-2E306BDA3490}" sourceName="Category">
  <pivotTables>
    <pivotTable tabId="3" name="PivotTable2"/>
    <pivotTable tabId="2" name="PivotTable1"/>
    <pivotTable tabId="4" name="PivotTable3"/>
    <pivotTable tabId="5" name="PivotTable4"/>
  </pivotTables>
  <data>
    <tabular pivotCacheId="471970907">
      <items count="4">
        <i x="0" s="1"/>
        <i x="2"/>
        <i x="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C00602A-84CC-4B4C-8141-4A1A7DF4E8E2}" sourceName="Salesperson">
  <pivotTables>
    <pivotTable tabId="4" name="PivotTable3"/>
    <pivotTable tabId="2" name="PivotTable1"/>
    <pivotTable tabId="3" name="PivotTable2"/>
    <pivotTable tabId="5" name="PivotTable4"/>
    <pivotTable tabId="7" name="PivotTable1"/>
  </pivotTables>
  <data>
    <tabular pivotCacheId="471970907">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8BF84B-D874-424C-AB65-70E28CA0F713}" sourceName="Product">
  <pivotTables>
    <pivotTable tabId="5" name="PivotTable4"/>
    <pivotTable tabId="2" name="PivotTable1"/>
    <pivotTable tabId="3" name="PivotTable2"/>
    <pivotTable tabId="4" name="PivotTable3"/>
    <pivotTable tabId="7" name="PivotTable1"/>
  </pivotTables>
  <data>
    <tabular pivotCacheId="471970907">
      <items count="11">
        <i x="4" s="1"/>
        <i x="2" s="1"/>
        <i x="1" s="1"/>
        <i x="7" s="1"/>
        <i x="5" s="1"/>
        <i x="0" s="1"/>
        <i x="3" s="1"/>
        <i x="8" s="1"/>
        <i x="6" s="1"/>
        <i x="9" s="1"/>
        <i x="1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FF2CB3E-416F-49CE-B71A-51863FB44C61}" cache="Slicer_City" caption="City" rowHeight="241300"/>
  <slicer name="Category" xr10:uid="{AEA647F0-23E6-411F-93E8-A5B8702DC822}" cache="Slicer_Category" caption="Category" rowHeight="241300"/>
  <slicer name="Salesperson" xr10:uid="{6F89C9F4-3D63-43BC-BE24-D4AC1DBCFBD0}" cache="Slicer_Salesperson" caption="Salesperson" rowHeight="241300"/>
  <slicer name="Product" xr10:uid="{7D9FE4AC-F94D-4FB8-B8AC-930A64E6424B}"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9BC3F1-29D3-4D8D-B4FC-34BFC0C931B7}" name="SalesTable" displayName="SalesTable" ref="A1:I24" totalsRowCount="1">
  <autoFilter ref="A1:I23" xr:uid="{A59BC3F1-29D3-4D8D-B4FC-34BFC0C931B7}">
    <filterColumn colId="3">
      <customFilters>
        <customFilter operator="notEqual" val=" "/>
      </customFilters>
    </filterColumn>
  </autoFilter>
  <tableColumns count="9">
    <tableColumn id="1" xr3:uid="{0F0BA7A3-CF49-495F-A64C-8DE137D43624}" name="Order ID" totalsRowFunction="custom">
      <totalsRowFormula>COUNTA(A2:A21)</totalsRowFormula>
    </tableColumn>
    <tableColumn id="2" xr3:uid="{7754D2E9-165B-4FE1-9520-355C5D81797F}" name="Date" dataDxfId="4" totalsRowDxfId="3"/>
    <tableColumn id="3" xr3:uid="{13A66E29-1D60-4F2B-83DC-421B56A4CB87}" name="Product"/>
    <tableColumn id="4" xr3:uid="{11B66E65-EF56-49D0-8367-E90085663CC3}" name="Category"/>
    <tableColumn id="5" xr3:uid="{67DED4F0-535B-4653-9CE3-0FEAB6ECF9DD}" name="City"/>
    <tableColumn id="6" xr3:uid="{B26BEC76-8E0D-446F-8FFB-3E83BECE97F4}" name="Salesperson"/>
    <tableColumn id="7" xr3:uid="{369853C4-940F-4F79-B509-D109B3E9A12B}" name="Quantity" totalsRowFunction="custom">
      <totalsRowFormula>SUM(G2:G21)</totalsRowFormula>
    </tableColumn>
    <tableColumn id="8" xr3:uid="{EA74E87D-16FD-4C2A-AB10-BF91841729FD}" name="Unit Price" dataDxfId="2" totalsRowDxfId="1"/>
    <tableColumn id="9" xr3:uid="{7E90F90F-1C89-454F-916F-34D88B383B45}" name="Total Sales" totalsRowFunction="custom" dataDxfId="0">
      <calculatedColumnFormula>G2*H2</calculatedColumnFormula>
      <totalsRowFormula>SUM(I2:I21)</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80577-129C-4126-BE48-56982A4FE4FD}">
  <dimension ref="A1:N28"/>
  <sheetViews>
    <sheetView showGridLines="0" tabSelected="1" zoomScale="75" zoomScaleNormal="75" workbookViewId="0">
      <selection activeCell="J32" sqref="J32"/>
    </sheetView>
  </sheetViews>
  <sheetFormatPr defaultRowHeight="15"/>
  <cols>
    <col min="1" max="1" width="32.28515625" bestFit="1" customWidth="1"/>
    <col min="4" max="4" width="17" bestFit="1" customWidth="1"/>
    <col min="7" max="7" width="17.28515625" bestFit="1" customWidth="1"/>
    <col min="10" max="10" width="29.140625" bestFit="1" customWidth="1"/>
    <col min="13" max="13" width="12.42578125" bestFit="1" customWidth="1"/>
    <col min="14" max="15" width="18.140625" bestFit="1" customWidth="1"/>
  </cols>
  <sheetData>
    <row r="1" spans="1:14">
      <c r="A1" s="15" t="s">
        <v>51</v>
      </c>
      <c r="B1" s="15"/>
      <c r="C1" s="15"/>
      <c r="D1" s="15"/>
      <c r="E1" s="15"/>
      <c r="F1" s="15"/>
      <c r="G1" s="15"/>
      <c r="H1" s="15"/>
      <c r="I1" s="15"/>
      <c r="J1" s="15"/>
      <c r="K1" s="15"/>
      <c r="L1" s="15"/>
      <c r="M1" s="15"/>
      <c r="N1" s="15"/>
    </row>
    <row r="2" spans="1:14">
      <c r="A2" s="15"/>
      <c r="B2" s="15"/>
      <c r="C2" s="15"/>
      <c r="D2" s="15"/>
      <c r="E2" s="15"/>
      <c r="F2" s="15"/>
      <c r="G2" s="15"/>
      <c r="H2" s="15"/>
      <c r="I2" s="15"/>
      <c r="J2" s="15"/>
      <c r="K2" s="15"/>
      <c r="L2" s="15"/>
      <c r="M2" s="15"/>
      <c r="N2" s="15"/>
    </row>
    <row r="3" spans="1:14" ht="15.75">
      <c r="A3" s="8" t="s">
        <v>56</v>
      </c>
    </row>
    <row r="4" spans="1:14" ht="15.75">
      <c r="A4" s="16">
        <f>GETPIVOTDATA("Sum of Total Sales",Sheet5!$A$3)</f>
        <v>120560</v>
      </c>
      <c r="B4" s="17"/>
      <c r="D4" s="8" t="s">
        <v>52</v>
      </c>
      <c r="G4" s="8" t="s">
        <v>53</v>
      </c>
      <c r="J4" s="8" t="s">
        <v>54</v>
      </c>
      <c r="M4" s="8" t="s">
        <v>55</v>
      </c>
    </row>
    <row r="5" spans="1:14" ht="23.25">
      <c r="A5" s="18"/>
      <c r="B5" s="19"/>
      <c r="D5" s="9">
        <v>6028</v>
      </c>
      <c r="G5" s="10">
        <v>20</v>
      </c>
      <c r="J5" s="9">
        <v>13500</v>
      </c>
      <c r="M5" s="9">
        <v>1800</v>
      </c>
    </row>
    <row r="7" spans="1:14" ht="15.75">
      <c r="A7" s="8" t="s">
        <v>57</v>
      </c>
      <c r="D7" s="11" t="s">
        <v>58</v>
      </c>
    </row>
    <row r="8" spans="1:14" ht="23.25">
      <c r="A8" s="13">
        <f>GETPIVOTDATA("Sum of Quantity",Sheet5!$A$3)</f>
        <v>86</v>
      </c>
      <c r="D8" s="14">
        <f>GETPIVOTDATA("Count of Order ID",Sheet5!$A$3)</f>
        <v>20</v>
      </c>
    </row>
    <row r="28" spans="10:10">
      <c r="J28" s="12"/>
    </row>
  </sheetData>
  <mergeCells count="2">
    <mergeCell ref="A1:N2"/>
    <mergeCell ref="A4:B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B9C4E-0618-4EAA-91B2-B34990C73232}">
  <dimension ref="A3:B5"/>
  <sheetViews>
    <sheetView workbookViewId="0">
      <selection activeCell="N18" sqref="N18"/>
    </sheetView>
  </sheetViews>
  <sheetFormatPr defaultRowHeight="15"/>
  <cols>
    <col min="1" max="1" width="13.140625" bestFit="1" customWidth="1"/>
    <col min="2" max="2" width="17.28515625" bestFit="1" customWidth="1"/>
  </cols>
  <sheetData>
    <row r="3" spans="1:2">
      <c r="A3" s="6" t="s">
        <v>48</v>
      </c>
      <c r="B3" t="s">
        <v>50</v>
      </c>
    </row>
    <row r="4" spans="1:2">
      <c r="A4" s="7" t="s">
        <v>31</v>
      </c>
      <c r="B4" s="20">
        <v>6400</v>
      </c>
    </row>
    <row r="5" spans="1:2">
      <c r="A5" s="7" t="s">
        <v>49</v>
      </c>
      <c r="B5" s="20">
        <v>6400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871B1-533F-460A-B7C4-2C4D5B4E03F3}">
  <dimension ref="A3:C4"/>
  <sheetViews>
    <sheetView workbookViewId="0">
      <selection activeCell="B5" sqref="B5"/>
    </sheetView>
  </sheetViews>
  <sheetFormatPr defaultRowHeight="15"/>
  <cols>
    <col min="1" max="1" width="17.28515625" bestFit="1" customWidth="1"/>
    <col min="2" max="2" width="15.42578125" bestFit="1" customWidth="1"/>
    <col min="3" max="3" width="16.5703125" bestFit="1" customWidth="1"/>
  </cols>
  <sheetData>
    <row r="3" spans="1:3">
      <c r="A3" t="s">
        <v>50</v>
      </c>
      <c r="B3" t="s">
        <v>59</v>
      </c>
      <c r="C3" t="s">
        <v>60</v>
      </c>
    </row>
    <row r="4" spans="1:3">
      <c r="A4" s="20">
        <v>120560</v>
      </c>
      <c r="B4" s="20">
        <v>86</v>
      </c>
      <c r="C4" s="20">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C7E7-F97E-4DD2-941E-2C4E95EB6CE2}">
  <dimension ref="A3:B7"/>
  <sheetViews>
    <sheetView workbookViewId="0">
      <selection activeCell="N14" sqref="N14"/>
    </sheetView>
  </sheetViews>
  <sheetFormatPr defaultRowHeight="15"/>
  <cols>
    <col min="1" max="1" width="13.140625" bestFit="1" customWidth="1"/>
    <col min="2" max="2" width="17.28515625" bestFit="1" customWidth="1"/>
  </cols>
  <sheetData>
    <row r="3" spans="1:2">
      <c r="A3" s="6" t="s">
        <v>48</v>
      </c>
      <c r="B3" t="s">
        <v>50</v>
      </c>
    </row>
    <row r="4" spans="1:2">
      <c r="A4" s="7" t="s">
        <v>12</v>
      </c>
      <c r="B4" s="20">
        <v>1800</v>
      </c>
    </row>
    <row r="5" spans="1:2">
      <c r="A5" s="7" t="s">
        <v>16</v>
      </c>
      <c r="B5" s="20">
        <v>6400</v>
      </c>
    </row>
    <row r="6" spans="1:2">
      <c r="A6" s="7" t="s">
        <v>24</v>
      </c>
      <c r="B6" s="20">
        <v>7260</v>
      </c>
    </row>
    <row r="7" spans="1:2">
      <c r="A7" s="7" t="s">
        <v>49</v>
      </c>
      <c r="B7" s="20">
        <v>15460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583B-0516-43DF-8569-774CDC9517E3}">
  <dimension ref="A3:B5"/>
  <sheetViews>
    <sheetView workbookViewId="0">
      <selection activeCell="D5" sqref="D5"/>
    </sheetView>
  </sheetViews>
  <sheetFormatPr defaultRowHeight="15"/>
  <cols>
    <col min="1" max="1" width="13.140625" bestFit="1" customWidth="1"/>
    <col min="2" max="2" width="17.28515625" bestFit="1" customWidth="1"/>
  </cols>
  <sheetData>
    <row r="3" spans="1:2">
      <c r="A3" s="6" t="s">
        <v>48</v>
      </c>
      <c r="B3" t="s">
        <v>50</v>
      </c>
    </row>
    <row r="4" spans="1:2">
      <c r="A4" s="7" t="s">
        <v>17</v>
      </c>
      <c r="B4" s="20">
        <v>6400</v>
      </c>
    </row>
    <row r="5" spans="1:2">
      <c r="A5" s="7" t="s">
        <v>49</v>
      </c>
      <c r="B5" s="20">
        <v>6400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87BD9-2A20-476A-953F-7F5AC68FB01B}">
  <dimension ref="A3:B6"/>
  <sheetViews>
    <sheetView workbookViewId="0">
      <selection activeCell="K19" sqref="K19"/>
    </sheetView>
  </sheetViews>
  <sheetFormatPr defaultRowHeight="15"/>
  <cols>
    <col min="1" max="1" width="13.140625" bestFit="1" customWidth="1"/>
    <col min="2" max="2" width="17.28515625" bestFit="1" customWidth="1"/>
  </cols>
  <sheetData>
    <row r="3" spans="1:2">
      <c r="A3" s="6" t="s">
        <v>48</v>
      </c>
      <c r="B3" t="s">
        <v>50</v>
      </c>
    </row>
    <row r="4" spans="1:2">
      <c r="A4" s="7" t="s">
        <v>37</v>
      </c>
      <c r="B4" s="20">
        <v>3600</v>
      </c>
    </row>
    <row r="5" spans="1:2">
      <c r="A5" s="7" t="s">
        <v>30</v>
      </c>
      <c r="B5" s="20">
        <v>2800</v>
      </c>
    </row>
    <row r="6" spans="1:2">
      <c r="A6" s="7" t="s">
        <v>49</v>
      </c>
      <c r="B6" s="20">
        <v>6400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workbookViewId="0">
      <selection activeCell="J11" sqref="J11"/>
    </sheetView>
  </sheetViews>
  <sheetFormatPr defaultRowHeight="15"/>
  <cols>
    <col min="1" max="1" width="10.5703125" customWidth="1"/>
    <col min="2" max="2" width="10.7109375" bestFit="1" customWidth="1"/>
    <col min="3" max="3" width="12.140625" bestFit="1" customWidth="1"/>
    <col min="4" max="4" width="11.28515625" bestFit="1" customWidth="1"/>
    <col min="6" max="6" width="13.85546875" customWidth="1"/>
    <col min="7" max="7" width="10.85546875" customWidth="1"/>
    <col min="8" max="8" width="11.85546875" customWidth="1"/>
    <col min="9" max="9" width="12.5703125" customWidth="1"/>
  </cols>
  <sheetData>
    <row r="1" spans="1:9">
      <c r="A1" t="s">
        <v>0</v>
      </c>
      <c r="B1" t="s">
        <v>1</v>
      </c>
      <c r="C1" t="s">
        <v>2</v>
      </c>
      <c r="D1" t="s">
        <v>3</v>
      </c>
      <c r="E1" t="s">
        <v>4</v>
      </c>
      <c r="F1" t="s">
        <v>5</v>
      </c>
      <c r="G1" t="s">
        <v>6</v>
      </c>
      <c r="H1" t="s">
        <v>7</v>
      </c>
      <c r="I1" t="s">
        <v>8</v>
      </c>
    </row>
    <row r="2" spans="1:9">
      <c r="A2" t="s">
        <v>32</v>
      </c>
      <c r="B2" s="2">
        <v>46273</v>
      </c>
      <c r="C2" t="s">
        <v>33</v>
      </c>
      <c r="D2" t="s">
        <v>31</v>
      </c>
      <c r="E2" t="s">
        <v>12</v>
      </c>
      <c r="F2" t="s">
        <v>17</v>
      </c>
      <c r="G2">
        <v>10</v>
      </c>
      <c r="H2" s="5">
        <v>180</v>
      </c>
      <c r="I2">
        <f t="shared" ref="I2:I21" si="0">G2*H2</f>
        <v>1800</v>
      </c>
    </row>
    <row r="3" spans="1:9">
      <c r="A3" t="s">
        <v>45</v>
      </c>
      <c r="B3" s="2">
        <v>46283</v>
      </c>
      <c r="C3" t="s">
        <v>33</v>
      </c>
      <c r="D3" t="s">
        <v>31</v>
      </c>
      <c r="E3" t="s">
        <v>24</v>
      </c>
      <c r="F3" t="s">
        <v>21</v>
      </c>
      <c r="G3">
        <v>12</v>
      </c>
      <c r="H3" s="5">
        <v>180</v>
      </c>
      <c r="I3">
        <f t="shared" si="0"/>
        <v>2160</v>
      </c>
    </row>
    <row r="4" spans="1:9">
      <c r="A4" t="s">
        <v>29</v>
      </c>
      <c r="B4" s="2">
        <v>46272</v>
      </c>
      <c r="C4" t="s">
        <v>30</v>
      </c>
      <c r="D4" t="s">
        <v>31</v>
      </c>
      <c r="E4" t="s">
        <v>24</v>
      </c>
      <c r="F4" t="s">
        <v>13</v>
      </c>
      <c r="G4">
        <v>6</v>
      </c>
      <c r="H4" s="5">
        <v>350</v>
      </c>
      <c r="I4">
        <f t="shared" si="0"/>
        <v>2100</v>
      </c>
    </row>
    <row r="5" spans="1:9">
      <c r="A5" t="s">
        <v>44</v>
      </c>
      <c r="B5" s="2">
        <v>46282</v>
      </c>
      <c r="C5" t="s">
        <v>30</v>
      </c>
      <c r="D5" t="s">
        <v>31</v>
      </c>
      <c r="E5" t="s">
        <v>16</v>
      </c>
      <c r="F5" t="s">
        <v>17</v>
      </c>
      <c r="G5">
        <v>8</v>
      </c>
      <c r="H5" s="5">
        <v>350</v>
      </c>
      <c r="I5">
        <f t="shared" si="0"/>
        <v>2800</v>
      </c>
    </row>
    <row r="6" spans="1:9">
      <c r="A6" t="s">
        <v>36</v>
      </c>
      <c r="B6" s="2">
        <v>46275</v>
      </c>
      <c r="C6" t="s">
        <v>37</v>
      </c>
      <c r="D6" t="s">
        <v>31</v>
      </c>
      <c r="E6" t="s">
        <v>24</v>
      </c>
      <c r="F6" t="s">
        <v>13</v>
      </c>
      <c r="G6">
        <v>5</v>
      </c>
      <c r="H6" s="5">
        <v>600</v>
      </c>
      <c r="I6">
        <f t="shared" si="0"/>
        <v>3000</v>
      </c>
    </row>
    <row r="7" spans="1:9">
      <c r="A7" t="s">
        <v>47</v>
      </c>
      <c r="B7" s="2">
        <v>46285</v>
      </c>
      <c r="C7" t="s">
        <v>37</v>
      </c>
      <c r="D7" t="s">
        <v>31</v>
      </c>
      <c r="E7" t="s">
        <v>16</v>
      </c>
      <c r="F7" t="s">
        <v>17</v>
      </c>
      <c r="G7">
        <v>6</v>
      </c>
      <c r="H7" s="5">
        <v>600</v>
      </c>
      <c r="I7">
        <f t="shared" si="0"/>
        <v>3600</v>
      </c>
    </row>
    <row r="8" spans="1:9">
      <c r="A8" t="s">
        <v>39</v>
      </c>
      <c r="B8" s="2">
        <v>46277</v>
      </c>
      <c r="C8" t="s">
        <v>19</v>
      </c>
      <c r="D8" t="s">
        <v>20</v>
      </c>
      <c r="E8" t="s">
        <v>24</v>
      </c>
      <c r="F8" t="s">
        <v>21</v>
      </c>
      <c r="G8">
        <v>3</v>
      </c>
      <c r="H8" s="5">
        <v>1200</v>
      </c>
      <c r="I8">
        <f t="shared" si="0"/>
        <v>3600</v>
      </c>
    </row>
    <row r="9" spans="1:9">
      <c r="A9" t="s">
        <v>18</v>
      </c>
      <c r="B9" s="2">
        <v>46268</v>
      </c>
      <c r="C9" t="s">
        <v>19</v>
      </c>
      <c r="D9" t="s">
        <v>20</v>
      </c>
      <c r="E9" t="s">
        <v>12</v>
      </c>
      <c r="F9" t="s">
        <v>21</v>
      </c>
      <c r="G9">
        <v>4</v>
      </c>
      <c r="H9" s="5">
        <v>1200</v>
      </c>
      <c r="I9">
        <f t="shared" si="0"/>
        <v>4800</v>
      </c>
    </row>
    <row r="10" spans="1:9">
      <c r="A10" t="s">
        <v>41</v>
      </c>
      <c r="B10" s="2">
        <v>46279</v>
      </c>
      <c r="C10" t="s">
        <v>26</v>
      </c>
      <c r="D10" t="s">
        <v>20</v>
      </c>
      <c r="E10" t="s">
        <v>12</v>
      </c>
      <c r="F10" t="s">
        <v>17</v>
      </c>
      <c r="G10">
        <v>2</v>
      </c>
      <c r="H10" s="5">
        <v>1800</v>
      </c>
      <c r="I10">
        <f t="shared" si="0"/>
        <v>3600</v>
      </c>
    </row>
    <row r="11" spans="1:9">
      <c r="A11" t="s">
        <v>25</v>
      </c>
      <c r="B11" s="2">
        <v>46270</v>
      </c>
      <c r="C11" t="s">
        <v>26</v>
      </c>
      <c r="D11" t="s">
        <v>20</v>
      </c>
      <c r="E11" t="s">
        <v>16</v>
      </c>
      <c r="F11" t="s">
        <v>17</v>
      </c>
      <c r="G11">
        <v>3</v>
      </c>
      <c r="H11" s="5">
        <v>1800</v>
      </c>
      <c r="I11">
        <f t="shared" si="0"/>
        <v>5400</v>
      </c>
    </row>
    <row r="12" spans="1:9">
      <c r="A12" t="s">
        <v>43</v>
      </c>
      <c r="B12" s="2">
        <v>46281</v>
      </c>
      <c r="C12" t="s">
        <v>28</v>
      </c>
      <c r="D12" t="s">
        <v>11</v>
      </c>
      <c r="E12" t="s">
        <v>24</v>
      </c>
      <c r="F12" t="s">
        <v>13</v>
      </c>
      <c r="G12">
        <v>2</v>
      </c>
      <c r="H12" s="5">
        <v>2200</v>
      </c>
      <c r="I12">
        <f t="shared" si="0"/>
        <v>4400</v>
      </c>
    </row>
    <row r="13" spans="1:9">
      <c r="A13" t="s">
        <v>27</v>
      </c>
      <c r="B13" s="2">
        <v>46271</v>
      </c>
      <c r="C13" t="s">
        <v>28</v>
      </c>
      <c r="D13" t="s">
        <v>11</v>
      </c>
      <c r="E13" t="s">
        <v>12</v>
      </c>
      <c r="F13" t="s">
        <v>21</v>
      </c>
      <c r="G13">
        <v>5</v>
      </c>
      <c r="H13" s="5">
        <v>2200</v>
      </c>
      <c r="I13">
        <f t="shared" si="0"/>
        <v>11000</v>
      </c>
    </row>
    <row r="14" spans="1:9">
      <c r="A14" t="s">
        <v>22</v>
      </c>
      <c r="B14" s="2">
        <v>46269</v>
      </c>
      <c r="C14" t="s">
        <v>23</v>
      </c>
      <c r="D14" t="s">
        <v>11</v>
      </c>
      <c r="E14" t="s">
        <v>24</v>
      </c>
      <c r="F14" t="s">
        <v>13</v>
      </c>
      <c r="G14">
        <v>2</v>
      </c>
      <c r="H14" s="5">
        <v>2500</v>
      </c>
      <c r="I14">
        <f t="shared" si="0"/>
        <v>5000</v>
      </c>
    </row>
    <row r="15" spans="1:9">
      <c r="A15" t="s">
        <v>42</v>
      </c>
      <c r="B15" s="2">
        <v>46280</v>
      </c>
      <c r="C15" t="s">
        <v>23</v>
      </c>
      <c r="D15" t="s">
        <v>11</v>
      </c>
      <c r="E15" t="s">
        <v>16</v>
      </c>
      <c r="F15" t="s">
        <v>21</v>
      </c>
      <c r="G15">
        <v>3</v>
      </c>
      <c r="H15" s="5">
        <v>2500</v>
      </c>
      <c r="I15">
        <f t="shared" si="0"/>
        <v>7500</v>
      </c>
    </row>
    <row r="16" spans="1:9">
      <c r="A16" s="1" t="s">
        <v>9</v>
      </c>
      <c r="B16" s="3">
        <v>46266</v>
      </c>
      <c r="C16" t="s">
        <v>10</v>
      </c>
      <c r="D16" s="1" t="s">
        <v>11</v>
      </c>
      <c r="E16" s="1" t="s">
        <v>12</v>
      </c>
      <c r="F16" s="1" t="s">
        <v>13</v>
      </c>
      <c r="G16">
        <v>2</v>
      </c>
      <c r="H16" s="4">
        <v>3200</v>
      </c>
      <c r="I16">
        <f t="shared" si="0"/>
        <v>6400</v>
      </c>
    </row>
    <row r="17" spans="1:9">
      <c r="A17" t="s">
        <v>14</v>
      </c>
      <c r="B17" s="2">
        <v>46267</v>
      </c>
      <c r="C17" t="s">
        <v>15</v>
      </c>
      <c r="D17" t="s">
        <v>11</v>
      </c>
      <c r="E17" t="s">
        <v>16</v>
      </c>
      <c r="F17" t="s">
        <v>17</v>
      </c>
      <c r="G17">
        <v>3</v>
      </c>
      <c r="H17" s="5">
        <v>3200</v>
      </c>
      <c r="I17">
        <f t="shared" si="0"/>
        <v>9600</v>
      </c>
    </row>
    <row r="18" spans="1:9">
      <c r="A18" t="s">
        <v>40</v>
      </c>
      <c r="B18" s="2">
        <v>46278</v>
      </c>
      <c r="C18" t="s">
        <v>15</v>
      </c>
      <c r="D18" t="s">
        <v>11</v>
      </c>
      <c r="E18" t="s">
        <v>12</v>
      </c>
      <c r="F18" t="s">
        <v>13</v>
      </c>
      <c r="G18">
        <v>4</v>
      </c>
      <c r="H18" s="5">
        <v>3200</v>
      </c>
      <c r="I18">
        <f t="shared" si="0"/>
        <v>12800</v>
      </c>
    </row>
    <row r="19" spans="1:9">
      <c r="A19" t="s">
        <v>34</v>
      </c>
      <c r="B19" s="2">
        <v>46274</v>
      </c>
      <c r="C19" t="s">
        <v>35</v>
      </c>
      <c r="D19" t="s">
        <v>11</v>
      </c>
      <c r="E19" t="s">
        <v>16</v>
      </c>
      <c r="F19" t="s">
        <v>21</v>
      </c>
      <c r="G19">
        <v>2</v>
      </c>
      <c r="H19" s="5">
        <v>4500</v>
      </c>
      <c r="I19">
        <f t="shared" si="0"/>
        <v>9000</v>
      </c>
    </row>
    <row r="20" spans="1:9">
      <c r="A20" t="s">
        <v>46</v>
      </c>
      <c r="B20" s="2">
        <v>46284</v>
      </c>
      <c r="C20" t="s">
        <v>35</v>
      </c>
      <c r="D20" t="s">
        <v>11</v>
      </c>
      <c r="E20" t="s">
        <v>12</v>
      </c>
      <c r="F20" t="s">
        <v>13</v>
      </c>
      <c r="G20">
        <v>3</v>
      </c>
      <c r="H20" s="5">
        <v>4500</v>
      </c>
      <c r="I20">
        <f t="shared" si="0"/>
        <v>13500</v>
      </c>
    </row>
    <row r="21" spans="1:9">
      <c r="A21" t="s">
        <v>38</v>
      </c>
      <c r="B21" s="2">
        <v>46276</v>
      </c>
      <c r="C21" t="s">
        <v>10</v>
      </c>
      <c r="D21" t="s">
        <v>11</v>
      </c>
      <c r="E21" t="s">
        <v>16</v>
      </c>
      <c r="F21" t="s">
        <v>17</v>
      </c>
      <c r="G21">
        <v>1</v>
      </c>
      <c r="H21" s="5">
        <v>8500</v>
      </c>
      <c r="I21">
        <f t="shared" si="0"/>
        <v>8500</v>
      </c>
    </row>
    <row r="22" spans="1:9" hidden="1">
      <c r="B22" s="2"/>
      <c r="H22" s="5"/>
    </row>
    <row r="23" spans="1:9" hidden="1">
      <c r="B23" s="2"/>
      <c r="H23" s="5"/>
    </row>
    <row r="24" spans="1:9">
      <c r="A24">
        <f>COUNTA(A2:A21)</f>
        <v>20</v>
      </c>
      <c r="B24" s="2"/>
      <c r="G24">
        <f>SUM(G2:G21)</f>
        <v>86</v>
      </c>
      <c r="H24" s="5"/>
      <c r="I24">
        <f>SUM(I2:I21)</f>
        <v>120560</v>
      </c>
    </row>
    <row r="25" spans="1:9">
      <c r="I25">
        <f>AVERAGE(I2:I21)</f>
        <v>6028</v>
      </c>
    </row>
    <row r="26" spans="1:9">
      <c r="I26">
        <f>COUNT(I2:I21)</f>
        <v>20</v>
      </c>
    </row>
    <row r="27" spans="1:9">
      <c r="I27">
        <f>MAX(I2:I21)</f>
        <v>13500</v>
      </c>
    </row>
    <row r="28" spans="1:9">
      <c r="I28">
        <f>MIN(I2:I21)</f>
        <v>1800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826722-9733-4D29-96E5-468491C340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Sheet5</vt:lpstr>
      <vt:lpstr>Sheet1</vt:lpstr>
      <vt:lpstr>Sheet3</vt:lpstr>
      <vt:lpstr>Sheet4</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Mizzy Malama</cp:lastModifiedBy>
  <dcterms:created xsi:type="dcterms:W3CDTF">2015-06-05T18:17:20Z</dcterms:created>
  <dcterms:modified xsi:type="dcterms:W3CDTF">2026-10-12T13:49:22Z</dcterms:modified>
</cp:coreProperties>
</file>